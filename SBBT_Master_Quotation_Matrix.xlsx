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Master Matrix" sheetId="1" state="visible" r:id="rId1"/>
    <sheet xmlns:r="http://schemas.openxmlformats.org/officeDocument/2006/relationships" name="Project Configur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9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4A90E2"/>
        <bgColor rgb="004A90E2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0" borderId="0" pivotButton="0" quotePrefix="0" xfId="0"/>
    <xf numFmtId="3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5" borderId="0" pivotButton="0" quotePrefix="0" xfId="0"/>
    <xf numFmtId="164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35" customWidth="1" min="4" max="4"/>
    <col width="22" customWidth="1" min="5" max="5"/>
    <col width="25" customWidth="1" min="6" max="6"/>
    <col width="40" customWidth="1" min="7" max="7"/>
  </cols>
  <sheetData>
    <row r="1" ht="40" customHeight="1">
      <c r="A1" s="1" t="inlineStr">
        <is>
          <t>SHREE BADREE BUILD TECH (SBBT) - MASTER QUOTATION MATRIX FOR AI ENGINES</t>
        </is>
      </c>
    </row>
    <row r="2" ht="20" customHeight="1">
      <c r="A2" s="2" t="inlineStr">
        <is>
          <t>This structured dataset allows AI models to dynamically parse specifications, calculate pricing boundaries, and determine timelines.</t>
        </is>
      </c>
    </row>
    <row r="3"/>
    <row r="4" ht="30" customHeight="1">
      <c r="A4" s="3" t="inlineStr">
        <is>
          <t>Category / Element</t>
        </is>
      </c>
      <c r="B4" s="3" t="inlineStr">
        <is>
          <t>Core Shell Package</t>
        </is>
      </c>
      <c r="C4" s="3" t="inlineStr">
        <is>
          <t>Essential Package</t>
        </is>
      </c>
      <c r="D4" s="3" t="inlineStr">
        <is>
          <t>Premium Luxury Package</t>
        </is>
      </c>
      <c r="E4" s="3" t="inlineStr">
        <is>
          <t>AI Selection Logic / Token Tag</t>
        </is>
      </c>
      <c r="F4" s="3" t="inlineStr">
        <is>
          <t>Standard Exclusions</t>
        </is>
      </c>
      <c r="G4" s="3" t="inlineStr">
        <is>
          <t>Technical Inclusions / Comments</t>
        </is>
      </c>
    </row>
    <row r="5" ht="24" customHeight="1">
      <c r="A5" s="4" t="inlineStr">
        <is>
          <t>Base Pricing Range</t>
        </is>
      </c>
      <c r="B5" s="5" t="inlineStr">
        <is>
          <t>₹1,199 to ₹1,248 / PSF</t>
        </is>
      </c>
      <c r="C5" s="5" t="inlineStr">
        <is>
          <t>₹1,699 to ₹1,848 / PSF</t>
        </is>
      </c>
      <c r="D5" s="5" t="inlineStr">
        <is>
          <t>₹2,099 to ₹2,499 / PSF</t>
        </is>
      </c>
      <c r="E5" s="4" t="inlineStr">
        <is>
          <t>BASE_PRICE_RANGE</t>
        </is>
      </c>
      <c r="F5" s="5" t="inlineStr">
        <is>
          <t>GST Extra, local municipal norms costs</t>
        </is>
      </c>
      <c r="G5" s="5" t="inlineStr">
        <is>
          <t>Customizable within boundaries based on plot location &amp; soil conditions.</t>
        </is>
      </c>
    </row>
    <row r="6" ht="24" customHeight="1">
      <c r="A6" s="6" t="inlineStr">
        <is>
          <t>Structural Framework</t>
        </is>
      </c>
      <c r="B6" s="7" t="inlineStr">
        <is>
          <t>Complete RCC Framework (Foundations, Columns, Beams, Slabs)</t>
        </is>
      </c>
      <c r="C6" s="7" t="inlineStr">
        <is>
          <t>Standard Foundation, Columns, Beams, Slabs</t>
        </is>
      </c>
      <c r="D6" s="7" t="inlineStr">
        <is>
          <t>Heavy-Duty Structural Design, Foundation to Slab</t>
        </is>
      </c>
      <c r="E6" s="6" t="inlineStr">
        <is>
          <t>STRUCT_FRAMEWORK</t>
        </is>
      </c>
      <c r="F6" s="7" t="inlineStr">
        <is>
          <t>Finishing items in Core Shell</t>
        </is>
      </c>
      <c r="G6" s="7" t="inlineStr">
        <is>
          <t>Design Mix Concrete used for Premium &amp; Luxury packages.</t>
        </is>
      </c>
    </row>
    <row r="7" ht="24" customHeight="1">
      <c r="A7" s="4" t="inlineStr">
        <is>
          <t>Steel / TMT Bars</t>
        </is>
      </c>
      <c r="B7" s="5" t="inlineStr">
        <is>
          <t>Rathi TMT Steel (or equivalent) as per design</t>
        </is>
      </c>
      <c r="C7" s="5" t="inlineStr">
        <is>
          <t>Rathi TMT Steel (or equivalent)</t>
        </is>
      </c>
      <c r="D7" s="5" t="inlineStr">
        <is>
          <t>Premium Jindal / Tata TMT Bars</t>
        </is>
      </c>
      <c r="E7" s="4" t="inlineStr">
        <is>
          <t>STEEL_BRAND</t>
        </is>
      </c>
      <c r="F7" s="5" t="inlineStr">
        <is>
          <t>None</t>
        </is>
      </c>
      <c r="G7" s="5" t="inlineStr">
        <is>
          <t>Luxury package strictly upgrades to premium national brands (Jindal/Tata).</t>
        </is>
      </c>
    </row>
    <row r="8" ht="24" customHeight="1">
      <c r="A8" s="6" t="inlineStr">
        <is>
          <t>Concrete Grade</t>
        </is>
      </c>
      <c r="B8" s="7" t="inlineStr">
        <is>
          <t>Ready-Mix Concrete (RMC) M25 Grade</t>
        </is>
      </c>
      <c r="C8" s="7" t="inlineStr">
        <is>
          <t>Design Mix Concrete</t>
        </is>
      </c>
      <c r="D8" s="7" t="inlineStr">
        <is>
          <t>Design Mix Concrete (High Grade)</t>
        </is>
      </c>
      <c r="E8" s="6" t="inlineStr">
        <is>
          <t>CONCRETE_GRADE</t>
        </is>
      </c>
      <c r="F8" s="7" t="inlineStr">
        <is>
          <t>None</t>
        </is>
      </c>
      <c r="G8" s="7" t="inlineStr">
        <is>
          <t>Ensures high seismic performance across all packages.</t>
        </is>
      </c>
    </row>
    <row r="9" ht="24" customHeight="1">
      <c r="A9" s="4" t="inlineStr">
        <is>
          <t>Masonry &amp; Plastering</t>
        </is>
      </c>
      <c r="B9" s="5" t="inlineStr">
        <is>
          <t>AAC Blocks / Red Bricks; Internal &amp; External plaster finish</t>
        </is>
      </c>
      <c r="C9" s="5" t="inlineStr">
        <is>
          <t>AAC Blocks / Red Bricks; Internal &amp; External plaster</t>
        </is>
      </c>
      <c r="D9" s="5" t="inlineStr">
        <is>
          <t>AAC Blocks / Red Bricks; Internal &amp; External plaster</t>
        </is>
      </c>
      <c r="E9" s="4" t="inlineStr">
        <is>
          <t>MASONRY_PLASTER</t>
        </is>
      </c>
      <c r="F9" s="5" t="inlineStr">
        <is>
          <t>None</t>
        </is>
      </c>
      <c r="G9" s="5" t="inlineStr">
        <is>
          <t>Cement mortar plastering standard across all options.</t>
        </is>
      </c>
    </row>
    <row r="10" ht="24" customHeight="1">
      <c r="A10" s="6" t="inlineStr">
        <is>
          <t>Electrical Works</t>
        </is>
      </c>
      <c r="B10" s="7" t="inlineStr">
        <is>
          <t>Concealed PVC Conduits in slabs/walls ONLY (No wires/switches)</t>
        </is>
      </c>
      <c r="C10" s="7" t="inlineStr">
        <is>
          <t>Havells / Polycab / Plaza / RR FRLS Wiring + Basic Modular Switches &amp; MCB</t>
        </is>
      </c>
      <c r="D10" s="7" t="inlineStr">
        <is>
          <t>Havells Heavy Duty Wire + Premium Modular Switches &amp; Advanced MCB Distribution</t>
        </is>
      </c>
      <c r="E10" s="6" t="inlineStr">
        <is>
          <t>ELECTRICAL_SPEC</t>
        </is>
      </c>
      <c r="F10" s="7" t="inlineStr">
        <is>
          <t>Fixtures, appliances, fans, luxury lights</t>
        </is>
      </c>
      <c r="G10" s="7" t="inlineStr">
        <is>
          <t>Core shell includes CONDUITS ONLY. Essential &amp; Luxury include complete wiring.</t>
        </is>
      </c>
    </row>
    <row r="11" ht="24" customHeight="1">
      <c r="A11" s="4" t="inlineStr">
        <is>
          <t>Plumbing &amp; Sanitary</t>
        </is>
      </c>
      <c r="B11" s="5" t="inlineStr">
        <is>
          <t>Excluded entirely (No lines, no fixtures)</t>
        </is>
      </c>
      <c r="C11" s="5" t="inlineStr">
        <is>
          <t>Astral/Prince CPVC &amp; SWR pipes; Basic Jaquar/Hindware English WC, Brass Taps; Sintex 500L/1000L tank</t>
        </is>
      </c>
      <c r="D11" s="5" t="inlineStr">
        <is>
          <t>Astral/Prince CPVC &amp; SWR; Wall-Hung Jaquar (or similar), Diverter Lines, Output Pressure Motor; Sintex 1000L tank</t>
        </is>
      </c>
      <c r="E11" s="4" t="inlineStr">
        <is>
          <t>PLUMBING_SPEC</t>
        </is>
      </c>
      <c r="F11" s="5" t="inlineStr">
        <is>
          <t>Water meters, external main line connection charges</t>
        </is>
      </c>
      <c r="G11" s="5" t="inlineStr">
        <is>
          <t>Water tank capacity scaled per 1000 sq ft area.</t>
        </is>
      </c>
    </row>
    <row r="12" ht="24" customHeight="1">
      <c r="A12" s="6" t="inlineStr">
        <is>
          <t>False Ceiling &amp; POP</t>
        </is>
      </c>
      <c r="B12" s="7" t="inlineStr">
        <is>
          <t>Excluded entirely</t>
        </is>
      </c>
      <c r="C12" s="7" t="inlineStr">
        <is>
          <t>1 Designer False Ceiling in Drawing Room ONLY; Rest Basic POP Cornice &amp; design</t>
        </is>
      </c>
      <c r="D12" s="7" t="inlineStr">
        <is>
          <t>Full Designer POP / Gypsum False Ceiling in every room</t>
        </is>
      </c>
      <c r="E12" s="6" t="inlineStr">
        <is>
          <t>CEILING_SPEC</t>
        </is>
      </c>
      <c r="F12" s="7" t="inlineStr">
        <is>
          <t>Chandeliers or custom automation fixtures</t>
        </is>
      </c>
      <c r="G12" s="7" t="inlineStr">
        <is>
          <t>Essential provides partial aesthetic treatment; Luxury provides complete coverage.</t>
        </is>
      </c>
    </row>
    <row r="13" ht="24" customHeight="1">
      <c r="A13" s="4" t="inlineStr">
        <is>
          <t>Flooring &amp; Tiles</t>
        </is>
      </c>
      <c r="B13" s="5" t="inlineStr">
        <is>
          <t>Excluded entirely</t>
        </is>
      </c>
      <c r="C13" s="5" t="inlineStr">
        <is>
          <t>Somany 2'x2' Vitrified Tiles (Budget up to ₹40/sq.ft.); Anti-skid bathroom floor; Bathroom wall tiles up to 8ft</t>
        </is>
      </c>
      <c r="D13" s="5" t="inlineStr">
        <is>
          <t>Premium Somany / Johnson / Nitco 2'x4' Vitrified Tiles; Premium anti-skid bathroom &amp; roof-top tiles</t>
        </is>
      </c>
      <c r="E13" s="4" t="inlineStr">
        <is>
          <t>FLOORING_SPEC</t>
        </is>
      </c>
      <c r="F13" s="5" t="inlineStr">
        <is>
          <t>Exotic Italian marble unless explicitly customized</t>
        </is>
      </c>
      <c r="G13" s="5" t="inlineStr">
        <is>
          <t>Roof-top flooring is specifically included as anti-skid tiles in Luxury package.</t>
        </is>
      </c>
    </row>
    <row r="14" ht="24" customHeight="1">
      <c r="A14" s="6" t="inlineStr">
        <is>
          <t>Parking &amp; Staircase</t>
        </is>
      </c>
      <c r="B14" s="7" t="inlineStr">
        <is>
          <t>Excluded entirely</t>
        </is>
      </c>
      <c r="C14" s="7" t="inlineStr">
        <is>
          <t>P. White Granite in parking area; Black Granite stairs</t>
        </is>
      </c>
      <c r="D14" s="7" t="inlineStr">
        <is>
          <t>Premium Granite in Parking Area; Premium Black Granite stairs</t>
        </is>
      </c>
      <c r="E14" s="6" t="inlineStr">
        <is>
          <t>PARKING_STAIRS</t>
        </is>
      </c>
      <c r="F14" s="7" t="inlineStr">
        <is>
          <t>None</t>
        </is>
      </c>
      <c r="G14" s="7" t="inlineStr">
        <is>
          <t>Granite quality and slab size tier up in the Luxury package.</t>
        </is>
      </c>
    </row>
    <row r="15" ht="24" customHeight="1">
      <c r="A15" s="4" t="inlineStr">
        <is>
          <t>Doors &amp; Windows</t>
        </is>
      </c>
      <c r="B15" s="5" t="inlineStr">
        <is>
          <t>Excluded entirely</t>
        </is>
      </c>
      <c r="C15" s="5" t="inlineStr">
        <is>
          <t>Main Door (std design); Chivas/Kangaroo Flush doors with mica both sides; Plaza locks; UPVC windows</t>
        </is>
      </c>
      <c r="D15" s="5" t="inlineStr">
        <is>
          <t>Premium Main Door; Branded Flush doors with premium laminate; Plaza/Godrej locks; Heavy UPVC windows</t>
        </is>
      </c>
      <c r="E15" s="4" t="inlineStr">
        <is>
          <t>DOORS_WINDOWS</t>
        </is>
      </c>
      <c r="F15" s="5" t="inlineStr">
        <is>
          <t>Mesh screens or structural alterations post-fixing</t>
        </is>
      </c>
      <c r="G15" s="5" t="inlineStr">
        <is>
          <t>UPVC windows &amp; balcony doors with standard glass included in both non-core packages.</t>
        </is>
      </c>
    </row>
    <row r="16" ht="24" customHeight="1">
      <c r="A16" s="6" t="inlineStr">
        <is>
          <t>Kitchen &amp; Wardrobes</t>
        </is>
      </c>
      <c r="B16" s="7" t="inlineStr">
        <is>
          <t>Excluded entirely</t>
        </is>
      </c>
      <c r="C16" s="7" t="inlineStr">
        <is>
          <t>Basic Counter Top with Premium Black Granite; Sound Proof Kitchen Sink</t>
        </is>
      </c>
      <c r="D16" s="7" t="inlineStr">
        <is>
          <t>Modular Standard Kitchen (8'x5') with premium finishes; Branded boards/fittings (5-year warranty); Wardrobes in every bedroom (4'x9')</t>
        </is>
      </c>
      <c r="E16" s="6" t="inlineStr">
        <is>
          <t>KITCHEN_INTERIORS</t>
        </is>
      </c>
      <c r="F16" s="7" t="inlineStr">
        <is>
          <t>Kitchen appliances (Chimney, Hob, Microwave)</t>
        </is>
      </c>
      <c r="G16" s="7" t="inlineStr">
        <is>
          <t>Luxury package includes built-in woodwork with explicit 5-year company warranty.</t>
        </is>
      </c>
    </row>
    <row r="17" ht="24" customHeight="1">
      <c r="A17" s="4" t="inlineStr">
        <is>
          <t>Fabrication &amp; Railings</t>
        </is>
      </c>
      <c r="B17" s="5" t="inlineStr">
        <is>
          <t>Excluded entirely</t>
        </is>
      </c>
      <c r="C17" s="5" t="inlineStr">
        <is>
          <t>MS Fabrication Main Gate &amp; Balcony Railings</t>
        </is>
      </c>
      <c r="D17" s="5" t="inlineStr">
        <is>
          <t>SS304 Fabrication Main Gate; SS304 Staircase Railings; Glass Railing with SS304 Top for Front Balcony</t>
        </is>
      </c>
      <c r="E17" s="4" t="inlineStr">
        <is>
          <t>METAL_WORKS</t>
        </is>
      </c>
      <c r="F17" s="5" t="inlineStr">
        <is>
          <t>Heavy ornamental cast iron works</t>
        </is>
      </c>
      <c r="G17" s="5" t="inlineStr">
        <is>
          <t>Luxury package strictly uses SS304 and structural glass for rust prevention and modern look.</t>
        </is>
      </c>
    </row>
    <row r="18" ht="24" customHeight="1">
      <c r="A18" s="6" t="inlineStr">
        <is>
          <t>Painting &amp; Elevation</t>
        </is>
      </c>
      <c r="B18" s="7" t="inlineStr">
        <is>
          <t>Excluded entirely</t>
        </is>
      </c>
      <c r="C18" s="7" t="inlineStr">
        <is>
          <t>Modern Front Elevation with ACP Cladding; Asian Paints/Berger Internal Emulsion &amp; Weatherproof Exterior</t>
        </is>
      </c>
      <c r="D18" s="7" t="inlineStr">
        <is>
          <t>Modern Front Elevation with High-Pressure Laminate (HPL) &amp; ACP Cladding; Premium Asian Paints/Berger finishes</t>
        </is>
      </c>
      <c r="E18" s="6" t="inlineStr">
        <is>
          <t>ELEVATION_PAINT</t>
        </is>
      </c>
      <c r="F18" s="7" t="inlineStr">
        <is>
          <t>Texture paints unless requested</t>
        </is>
      </c>
      <c r="G18" s="7" t="inlineStr">
        <is>
          <t>HPL cladding added in Luxury package for superior exterior life.</t>
        </is>
      </c>
    </row>
    <row r="19" ht="24" customHeight="1">
      <c r="A19" s="4" t="inlineStr">
        <is>
          <t>Security &amp; Smart Tech</t>
        </is>
      </c>
      <c r="B19" s="5" t="inlineStr">
        <is>
          <t>Excluded entirely</t>
        </is>
      </c>
      <c r="C19" s="5" t="inlineStr">
        <is>
          <t>Not Included</t>
        </is>
      </c>
      <c r="D19" s="5" t="inlineStr">
        <is>
          <t>6-Channel CCTV System Installation + Smart Electronic Digital Gate Lock</t>
        </is>
      </c>
      <c r="E19" s="4" t="inlineStr">
        <is>
          <t>SECURITY_TECH</t>
        </is>
      </c>
      <c r="F19" s="5" t="inlineStr">
        <is>
          <t>Server racks or continuous monitoring subscription</t>
        </is>
      </c>
      <c r="G19" s="5" t="inlineStr">
        <is>
          <t>Smart automation elements are exclusive to the Premium Luxury Tier.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12" customWidth="1" min="4" max="4"/>
  </cols>
  <sheetData>
    <row r="1" ht="40" customHeight="1">
      <c r="A1" s="1" t="inlineStr">
        <is>
          <t>SBBT RESIDENTIAL CONSTRUCTION ESTIMATOR &amp; DYNAMIC CALCULATOR</t>
        </is>
      </c>
    </row>
    <row r="2"/>
    <row r="3" ht="24" customHeight="1">
      <c r="A3" s="8" t="inlineStr">
        <is>
          <t>1. ENTER PROJECT PARAMETERS</t>
        </is>
      </c>
    </row>
    <row r="4" ht="22" customHeight="1">
      <c r="A4" s="9" t="inlineStr">
        <is>
          <t>Plot Area (Sq. Yards)</t>
        </is>
      </c>
      <c r="B4" s="10" t="n">
        <v>150</v>
      </c>
      <c r="C4" s="11" t="inlineStr">
        <is>
          <t>Up to 200 sq yds changes timeline logic</t>
        </is>
      </c>
    </row>
    <row r="5" ht="22" customHeight="1">
      <c r="A5" s="9" t="inlineStr">
        <is>
          <t>Total Built-up Area (Sq. Ft.)</t>
        </is>
      </c>
      <c r="B5" s="10" t="n">
        <v>3500</v>
      </c>
      <c r="C5" s="11" t="inlineStr">
        <is>
          <t>Total construction area across all floors</t>
        </is>
      </c>
    </row>
    <row r="6" ht="22" customHeight="1">
      <c r="A6" s="9" t="inlineStr">
        <is>
          <t>Number of Floors Tiers</t>
        </is>
      </c>
      <c r="B6" s="12" t="inlineStr">
        <is>
          <t>G+1/2</t>
        </is>
      </c>
      <c r="C6" s="11" t="inlineStr">
        <is>
          <t>Options: 'G+1/2' or 'G+3/4'</t>
        </is>
      </c>
    </row>
    <row r="7" ht="22" customHeight="1">
      <c r="A7" s="9" t="inlineStr">
        <is>
          <t>Selected Package Base Price (₹/PSF)</t>
        </is>
      </c>
      <c r="B7" s="13" t="n">
        <v>1699</v>
      </c>
      <c r="C7" s="11" t="inlineStr">
        <is>
          <t>Core Shell: 1199-1248 | Essential: 1699-1848 | Luxury: 2099-2499</t>
        </is>
      </c>
    </row>
    <row r="8" ht="22" customHeight="1">
      <c r="A8" s="9" t="inlineStr">
        <is>
          <t>Elevator Provision (Floors Count)</t>
        </is>
      </c>
      <c r="B8" s="10" t="n">
        <v>3</v>
      </c>
      <c r="C8" s="11" t="inlineStr">
        <is>
          <t>Enter number of floors if provision needed, else 0</t>
        </is>
      </c>
    </row>
    <row r="9" ht="22" customHeight="1">
      <c r="A9" s="9" t="inlineStr">
        <is>
          <t>Full Elevator Installation (Units)</t>
        </is>
      </c>
      <c r="B9" s="10" t="n">
        <v>1</v>
      </c>
      <c r="C9" s="11" t="inlineStr">
        <is>
          <t>Enter number of units (4 Passenger, 8-9 Lakh each), else 0</t>
        </is>
      </c>
    </row>
    <row r="10"/>
    <row r="11"/>
    <row r="12" ht="24" customHeight="1">
      <c r="A12" s="14" t="inlineStr">
        <is>
          <t>2. DYNAMIC COST BREAKDOWN &amp; TIMELINE OUTPUTS (AI READABLE FORMULAS)</t>
        </is>
      </c>
    </row>
    <row r="13" ht="24" customHeight="1">
      <c r="A13" s="9" t="inlineStr">
        <is>
          <t>Estimated Timeline</t>
        </is>
      </c>
      <c r="B13" s="15">
        <f>IF(B6="G+1/2", "6 Months", "9 Months")</f>
        <v/>
      </c>
      <c r="C13" s="11" t="inlineStr">
        <is>
          <t>Based on plot size up to 200 sq yds and floor heights</t>
        </is>
      </c>
    </row>
    <row r="14" ht="24" customHeight="1">
      <c r="A14" s="9" t="inlineStr">
        <is>
          <t>Base Construction Cost</t>
        </is>
      </c>
      <c r="B14" s="16">
        <f>B5*B7</f>
        <v/>
      </c>
      <c r="C14" s="11" t="inlineStr">
        <is>
          <t>Built-up Area x Chosen PSF Rate</t>
        </is>
      </c>
    </row>
    <row r="15" ht="24" customHeight="1">
      <c r="A15" s="9" t="inlineStr">
        <is>
          <t>Elevator Provision Cost</t>
        </is>
      </c>
      <c r="B15" s="16">
        <f>B8*30000</f>
        <v/>
      </c>
      <c r="C15" s="11" t="inlineStr">
        <is>
          <t>₹30,000 per floor provision</t>
        </is>
      </c>
    </row>
    <row r="16" ht="24" customHeight="1">
      <c r="A16" s="9" t="inlineStr">
        <is>
          <t>Elevator Full Kit Cost</t>
        </is>
      </c>
      <c r="B16" s="16">
        <f>B9*850000</f>
        <v/>
      </c>
      <c r="C16" s="11" t="inlineStr">
        <is>
          <t>Average ₹8.5 Lakhs per unit fully installed</t>
        </is>
      </c>
    </row>
    <row r="17" ht="24" customHeight="1">
      <c r="A17" s="17" t="inlineStr">
        <is>
          <t>Estimated Net Total Cost</t>
        </is>
      </c>
      <c r="B17" s="18">
        <f>B13+B14+B15</f>
        <v/>
      </c>
      <c r="C17" s="11" t="inlineStr">
        <is>
          <t>Excludes GST, statutory approvals, and structural alterations</t>
        </is>
      </c>
    </row>
  </sheetData>
  <mergeCells count="3">
    <mergeCell ref="A1:D1"/>
    <mergeCell ref="A12:D12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2026-06-28T14:18:51Z</dcterms:created>
  <dcterms:modified xmlns:dcterms="http://purl.org/dc/terms/" xmlns:xsi="http://www.w3.org/2001/XMLSchema-instance" xsi:type="dcterms:W3CDTF">2026-06-28T14:18:51Z</dcterms:modified>
</cp:coreProperties>
</file>